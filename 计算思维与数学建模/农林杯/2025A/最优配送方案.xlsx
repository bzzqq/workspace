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2\计算思维与数学建模\农林杯\2025A\"/>
    </mc:Choice>
  </mc:AlternateContent>
  <xr:revisionPtr revIDLastSave="0" documentId="13_ncr:1_{7DC55AC6-243D-47DA-B941-9A8D3AD040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6" i="1"/>
  <c r="M15" i="1"/>
  <c r="C18" i="1"/>
  <c r="D18" i="1"/>
  <c r="E18" i="1"/>
  <c r="F18" i="1"/>
  <c r="G18" i="1"/>
  <c r="H18" i="1"/>
  <c r="I18" i="1"/>
  <c r="J18" i="1"/>
  <c r="K18" i="1"/>
  <c r="L18" i="1"/>
  <c r="M18" i="1"/>
  <c r="N18" i="1"/>
  <c r="B18" i="1"/>
</calcChain>
</file>

<file path=xl/sharedStrings.xml><?xml version="1.0" encoding="utf-8"?>
<sst xmlns="http://schemas.openxmlformats.org/spreadsheetml/2006/main" count="35" uniqueCount="19">
  <si>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</si>
  <si>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</si>
  <si>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</si>
  <si>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</si>
  <si>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</si>
  <si>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</si>
  <si>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</si>
  <si>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</si>
  <si>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</si>
  <si>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</si>
  <si>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</si>
  <si>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北京市</t>
  </si>
  <si>
    <t>天津市</t>
  </si>
  <si>
    <t>仓库A(玉田)</t>
  </si>
  <si>
    <t>仓库B(辛集)</t>
  </si>
  <si>
    <t>仓库C(南宫)</t>
  </si>
  <si>
    <t>MAX</t>
    <phoneticPr fontId="2" type="noConversion"/>
  </si>
  <si>
    <t>SUM</t>
    <phoneticPr fontId="2" type="noConversion"/>
  </si>
  <si>
    <t>优化后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</si>
</sst>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0.000000000000000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2" fontId="0" fillId="0" borderId="0" xfId="0" applyNumberFormat="1"/>
    <xf numFmtId="189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topLeftCell="B1" workbookViewId="0">
      <selection activeCell="H22" sqref="H22"/>
    </sheetView>
  </sheetViews>
  <sheetFormatPr defaultRowHeight="14.4"/>
  <cols>
    <col min="1" max="1" width="13.6640625" bestFit="1" customWidth="1"/>
    <col min="2" max="3" width="20.44140625" bestFit="1" customWidth="1"/>
    <col min="4" max="4" width="19.33203125" bestFit="1" customWidth="1"/>
    <col min="5" max="10" width="20.44140625" bestFit="1" customWidth="1"/>
    <col min="11" max="11" width="18.88671875" customWidth="1"/>
    <col min="12" max="13" width="20.44140625" bestFit="1" customWidth="1"/>
    <col min="14" max="14" width="19.33203125" bestFit="1" customWidth="1"/>
    <col min="15" max="15" width="20.44140625" bestFit="1" customWidth="1"/>
  </cols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5">
      <c r="A2" s="1" t="s">
        <v>13</v>
      </c>
      <c r="B2">
        <v>0</v>
      </c>
      <c r="C2">
        <v>30.175433907507959</v>
      </c>
      <c r="D2">
        <v>9.0658309539412123</v>
      </c>
      <c r="E2">
        <v>0</v>
      </c>
      <c r="F2">
        <v>0</v>
      </c>
      <c r="G2">
        <v>0</v>
      </c>
      <c r="H2">
        <v>0</v>
      </c>
      <c r="I2">
        <v>14.95959171971541</v>
      </c>
      <c r="J2">
        <v>0</v>
      </c>
      <c r="K2">
        <v>13.929143418835411</v>
      </c>
      <c r="L2">
        <v>0</v>
      </c>
      <c r="M2">
        <v>10.53</v>
      </c>
      <c r="N2">
        <v>6.34</v>
      </c>
    </row>
    <row r="3" spans="1:15">
      <c r="A3" s="1" t="s">
        <v>14</v>
      </c>
      <c r="B3">
        <v>31.5382204877364</v>
      </c>
      <c r="C3">
        <v>0</v>
      </c>
      <c r="D3">
        <v>0</v>
      </c>
      <c r="E3">
        <v>0</v>
      </c>
      <c r="F3">
        <v>0</v>
      </c>
      <c r="G3">
        <v>43.383980762029601</v>
      </c>
      <c r="H3">
        <v>0</v>
      </c>
      <c r="I3">
        <v>0</v>
      </c>
      <c r="J3">
        <v>39.422623689383997</v>
      </c>
      <c r="K3">
        <v>5.6551750608500697</v>
      </c>
      <c r="L3">
        <v>0</v>
      </c>
      <c r="M3">
        <v>0</v>
      </c>
      <c r="N3">
        <v>0</v>
      </c>
    </row>
    <row r="4" spans="1:15">
      <c r="A4" s="1" t="s">
        <v>15</v>
      </c>
      <c r="B4">
        <v>0</v>
      </c>
      <c r="C4">
        <v>0</v>
      </c>
      <c r="D4">
        <v>0</v>
      </c>
      <c r="E4">
        <v>36.977719060101101</v>
      </c>
      <c r="F4">
        <v>36.911715151656999</v>
      </c>
      <c r="G4">
        <v>0</v>
      </c>
      <c r="H4">
        <v>0</v>
      </c>
      <c r="I4">
        <v>0</v>
      </c>
      <c r="J4">
        <v>0</v>
      </c>
      <c r="K4">
        <v>0.72547240685263104</v>
      </c>
      <c r="L4">
        <v>30.3850933813893</v>
      </c>
      <c r="M4">
        <v>0</v>
      </c>
      <c r="N4">
        <v>0</v>
      </c>
    </row>
    <row r="12" spans="1:15">
      <c r="B12" t="s">
        <v>18</v>
      </c>
    </row>
    <row r="14" spans="1:15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12</v>
      </c>
    </row>
    <row r="15" spans="1:15">
      <c r="A15" s="1" t="s">
        <v>13</v>
      </c>
      <c r="B15" s="5">
        <v>0</v>
      </c>
      <c r="C15" s="5">
        <v>30</v>
      </c>
      <c r="D15" s="4">
        <v>9.0658309539412123</v>
      </c>
      <c r="E15" s="5">
        <v>0</v>
      </c>
      <c r="F15" s="5">
        <v>0</v>
      </c>
      <c r="G15" s="5">
        <v>0</v>
      </c>
      <c r="H15" s="5">
        <v>0</v>
      </c>
      <c r="I15" s="4">
        <v>14.95959171971541</v>
      </c>
      <c r="J15" s="5">
        <v>0</v>
      </c>
      <c r="K15" s="4">
        <f>13.9291434188354+0.175433907508+0.53</f>
        <v>14.634577326343399</v>
      </c>
      <c r="L15" s="5">
        <v>0</v>
      </c>
      <c r="M15" s="5">
        <f>10.53-0.53</f>
        <v>10</v>
      </c>
      <c r="N15" s="3">
        <v>6.34</v>
      </c>
      <c r="O15" s="4"/>
    </row>
    <row r="16" spans="1:15">
      <c r="A16" s="1" t="s">
        <v>14</v>
      </c>
      <c r="B16" s="5">
        <v>30</v>
      </c>
      <c r="C16" s="5">
        <v>0</v>
      </c>
      <c r="D16" s="5">
        <v>0</v>
      </c>
      <c r="E16" s="5">
        <v>0</v>
      </c>
      <c r="F16" s="5">
        <v>0</v>
      </c>
      <c r="G16" s="4">
        <v>43.383980762029587</v>
      </c>
      <c r="H16" s="5">
        <v>0</v>
      </c>
      <c r="I16" s="5">
        <v>0</v>
      </c>
      <c r="J16" s="4">
        <v>39.9129516944393</v>
      </c>
      <c r="K16" s="4">
        <f>5.65517506085007-0.175433907508-0.53+0.725472406852631</f>
        <v>5.6752135601947007</v>
      </c>
      <c r="L16" s="5">
        <v>0</v>
      </c>
      <c r="M16" s="5">
        <v>0</v>
      </c>
      <c r="N16" s="5">
        <v>0</v>
      </c>
      <c r="O16" s="4"/>
    </row>
    <row r="17" spans="1:15">
      <c r="A17" s="1" t="s">
        <v>15</v>
      </c>
      <c r="B17" s="5">
        <v>0</v>
      </c>
      <c r="C17" s="5">
        <v>0</v>
      </c>
      <c r="D17" s="5">
        <v>0</v>
      </c>
      <c r="E17" s="4">
        <v>36.977719060101109</v>
      </c>
      <c r="F17" s="4">
        <v>36.911715151656999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30</v>
      </c>
      <c r="M17" s="5">
        <v>0</v>
      </c>
      <c r="N17" s="5">
        <v>0</v>
      </c>
      <c r="O17" s="4"/>
    </row>
    <row r="18" spans="1:15">
      <c r="A18" s="2" t="s">
        <v>17</v>
      </c>
      <c r="B18" s="5">
        <f>SUM(B15:B17)</f>
        <v>30</v>
      </c>
      <c r="C18" s="5">
        <f t="shared" ref="C18:N18" si="0">SUM(C15:C17)</f>
        <v>30</v>
      </c>
      <c r="D18" s="4">
        <f t="shared" si="0"/>
        <v>9.0658309539412123</v>
      </c>
      <c r="E18" s="4">
        <f t="shared" si="0"/>
        <v>36.977719060101109</v>
      </c>
      <c r="F18" s="4">
        <f t="shared" si="0"/>
        <v>36.911715151656999</v>
      </c>
      <c r="G18" s="4">
        <f t="shared" si="0"/>
        <v>43.383980762029587</v>
      </c>
      <c r="H18" s="5">
        <f t="shared" si="0"/>
        <v>0</v>
      </c>
      <c r="I18" s="4">
        <f t="shared" si="0"/>
        <v>14.95959171971541</v>
      </c>
      <c r="J18" s="4">
        <f t="shared" si="0"/>
        <v>39.9129516944393</v>
      </c>
      <c r="K18" s="4">
        <f t="shared" si="0"/>
        <v>20.309790886538099</v>
      </c>
      <c r="L18" s="5">
        <f t="shared" si="0"/>
        <v>30</v>
      </c>
      <c r="M18" s="5">
        <f t="shared" si="0"/>
        <v>10</v>
      </c>
      <c r="N18" s="3">
        <f t="shared" si="0"/>
        <v>6.34</v>
      </c>
    </row>
    <row r="19" spans="1:15">
      <c r="A19" s="2" t="s">
        <v>16</v>
      </c>
      <c r="B19" s="4">
        <v>31.538220487736385</v>
      </c>
      <c r="C19" s="4">
        <v>30.175433907507962</v>
      </c>
      <c r="D19" s="4">
        <v>9.0658309539412123</v>
      </c>
      <c r="E19" s="4">
        <v>36.977719060101109</v>
      </c>
      <c r="F19" s="4">
        <v>36.911715151656999</v>
      </c>
      <c r="G19" s="4">
        <v>43.383980762029587</v>
      </c>
      <c r="H19" s="4">
        <v>38.169671994944771</v>
      </c>
      <c r="I19" s="4">
        <v>14.959591719715412</v>
      </c>
      <c r="J19" s="4">
        <v>39.912951694439251</v>
      </c>
      <c r="K19" s="4">
        <v>20.309790886538106</v>
      </c>
      <c r="L19" s="4">
        <v>30.385093381389261</v>
      </c>
      <c r="M19" s="3">
        <v>10.53</v>
      </c>
      <c r="N19" s="3">
        <v>6.34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张斌</cp:lastModifiedBy>
  <dcterms:created xsi:type="dcterms:W3CDTF">2025-05-11T06:51:21Z</dcterms:created>
  <dcterms:modified xsi:type="dcterms:W3CDTF">2025-05-11T13:58:40Z</dcterms:modified>
</cp:coreProperties>
</file>